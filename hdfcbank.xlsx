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<sst xmlns="http://schemas.openxmlformats.org/spreadsheetml/2006/main" uniqueCount="11">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</sst>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#,##0.0#"/>
  </numFmts>
  <fonts count="9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  <font>
      <sz val="14"/>
      <color indexed="14"/>
      <name val="Helvetica Neue"/>
    </font>
    <font>
      <sz val="14"/>
      <color indexed="15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7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49" fontId="6" fillId="2" borderId="1" applyNumberFormat="1" applyFont="1" applyFill="1" applyBorder="1" applyAlignment="1" applyProtection="0">
      <alignment horizontal="left" vertical="top" wrapText="1"/>
    </xf>
    <xf numFmtId="59" fontId="3" fillId="3" borderId="2" applyNumberFormat="1" applyFont="1" applyFill="1" applyBorder="1" applyAlignment="1" applyProtection="0">
      <alignment vertical="top" wrapText="1"/>
    </xf>
    <xf numFmtId="3" fontId="0" fillId="4" borderId="3" applyNumberFormat="1" applyFont="1" applyFill="1" applyBorder="1" applyAlignment="1" applyProtection="0">
      <alignment vertical="top" wrapText="1"/>
    </xf>
    <xf numFmtId="3" fontId="7" fillId="4" borderId="4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60" fontId="8" fillId="4" borderId="4" applyNumberFormat="1" applyFont="1" applyFill="1" applyBorder="1" applyAlignment="1" applyProtection="0">
      <alignment horizontal="right" vertical="top" wrapText="1"/>
    </xf>
    <xf numFmtId="60" fontId="8" fillId="4" borderId="4" applyNumberFormat="1" applyFont="1" applyFill="1" applyBorder="1" applyAlignment="1" applyProtection="0">
      <alignment vertical="top" wrapText="1"/>
    </xf>
    <xf numFmtId="14" fontId="3" fillId="3" borderId="5" applyNumberFormat="1" applyFont="1" applyFill="1" applyBorder="1" applyAlignment="1" applyProtection="0">
      <alignment vertical="top" wrapText="1"/>
    </xf>
    <xf numFmtId="3" fontId="0" fillId="4" borderId="6" applyNumberFormat="1" applyFont="1" applyFill="1" applyBorder="1" applyAlignment="1" applyProtection="0">
      <alignment vertical="top" wrapText="1"/>
    </xf>
    <xf numFmtId="3" fontId="7" fillId="4" borderId="7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60" fontId="8" fillId="4" borderId="7" applyNumberFormat="1" applyFont="1" applyFill="1" applyBorder="1" applyAlignment="1" applyProtection="0">
      <alignment horizontal="right" vertical="top" wrapText="1"/>
    </xf>
    <xf numFmtId="60" fontId="8" fillId="4" borderId="7" applyNumberFormat="1" applyFont="1" applyFill="1" applyBorder="1" applyAlignment="1" applyProtection="0">
      <alignment vertical="top" wrapText="1"/>
    </xf>
    <xf numFmtId="0" fontId="7" fillId="4" borderId="7" applyNumberFormat="1" applyFont="1" applyFill="1" applyBorder="1" applyAlignment="1" applyProtection="0">
      <alignment vertical="top" wrapText="1"/>
    </xf>
    <xf numFmtId="60" fontId="8" fillId="5" borderId="7" applyNumberFormat="1" applyFont="1" applyFill="1" applyBorder="1" applyAlignment="1" applyProtection="0">
      <alignment vertical="top" wrapText="1"/>
    </xf>
    <xf numFmtId="0" fontId="7" fillId="4" borderId="7" applyNumberFormat="1" applyFont="1" applyFill="1" applyBorder="1" applyAlignment="1" applyProtection="0">
      <alignment vertical="center" wrapText="1"/>
    </xf>
    <xf numFmtId="4" fontId="8" fillId="4" borderId="7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3" fontId="7" fillId="4" borderId="6" applyNumberFormat="1" applyFont="1" applyFill="1" applyBorder="1" applyAlignment="1" applyProtection="0">
      <alignment vertical="center" wrapText="1"/>
    </xf>
    <xf numFmtId="3" fontId="7" fillId="4" borderId="7" applyNumberFormat="1" applyFont="1" applyFill="1" applyBorder="1" applyAlignment="1" applyProtection="0">
      <alignment vertical="center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7" fillId="4" borderId="7" applyNumberFormat="0" applyFont="1" applyFill="1" applyBorder="1" applyAlignment="1" applyProtection="0">
      <alignment vertical="center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  <xf numFmtId="0" fontId="7" fillId="4" borderId="6" applyNumberFormat="1" applyFont="1" applyFill="1" applyBorder="1" applyAlignment="1" applyProtection="0">
      <alignment vertical="center" wrapText="1"/>
    </xf>
    <xf numFmtId="3" fontId="0" fillId="4" borderId="7" applyNumberFormat="1" applyFont="1" applyFill="1" applyBorder="1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272727"/>
      <rgbColor rgb="ff333333"/>
      <rgbColor rgb="fff6f8f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04"/>
  <sheetViews>
    <sheetView workbookViewId="0" showGridLines="0" defaultGridColor="1"/>
  </sheetViews>
  <sheetFormatPr defaultColWidth="16.3333" defaultRowHeight="19.9" customHeight="1" outlineLevelRow="0" outlineLevelCol="0"/>
  <cols>
    <col min="1" max="26" width="16.3516" style="1" customWidth="1"/>
    <col min="27" max="16384" width="16.3516" style="1" customWidth="1"/>
  </cols>
  <sheetData>
    <row r="1" ht="56.7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4">
        <v>7</v>
      </c>
      <c r="I1" t="s" s="5">
        <v>8</v>
      </c>
      <c r="J1" t="s" s="4">
        <v>9</v>
      </c>
      <c r="K1" t="s" s="5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6" customHeight="1">
      <c r="A2" s="6">
        <v>43921</v>
      </c>
      <c r="B2" s="7" cm="1">
        <f t="array" ref="B2">Y48</f>
        <v>38285</v>
      </c>
      <c r="C2" s="8">
        <v>13898</v>
      </c>
      <c r="D2" s="9"/>
      <c r="E2" s="8">
        <v>7280</v>
      </c>
      <c r="F2" s="8">
        <v>548</v>
      </c>
      <c r="G2" s="10">
        <v>175810.38</v>
      </c>
      <c r="H2" s="9"/>
      <c r="I2" s="9"/>
      <c r="J2" s="11">
        <v>1580830.44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6" customHeight="1">
      <c r="A3" s="12" cm="1">
        <f t="array" ref="A3">EDATE(A2,3)</f>
        <v>44012</v>
      </c>
      <c r="B3" s="13" cm="1">
        <f t="array" ref="B3">X48</f>
        <v>36696</v>
      </c>
      <c r="C3" s="14">
        <v>13684</v>
      </c>
      <c r="D3" s="15"/>
      <c r="E3" s="14">
        <v>6927</v>
      </c>
      <c r="F3" s="14">
        <v>549</v>
      </c>
      <c r="G3" s="16">
        <v>175810.38</v>
      </c>
      <c r="H3" s="15"/>
      <c r="I3" s="15"/>
      <c r="J3" s="17">
        <v>1580830.44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6" customHeight="1">
      <c r="A4" s="12" cm="1">
        <f t="array" ref="A4">EDATE(A3,3)</f>
        <v>44104</v>
      </c>
      <c r="B4" s="13" cm="1">
        <f t="array" ref="B4">W48</f>
        <v>38437</v>
      </c>
      <c r="C4" s="14">
        <v>14797</v>
      </c>
      <c r="D4" s="15"/>
      <c r="E4" s="14">
        <v>7702</v>
      </c>
      <c r="F4" s="18">
        <v>550</v>
      </c>
      <c r="G4" s="16">
        <v>175810.38</v>
      </c>
      <c r="H4" s="15"/>
      <c r="I4" s="15"/>
      <c r="J4" s="17">
        <v>1580830.44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6" customHeight="1">
      <c r="A5" s="12" cm="1">
        <f t="array" ref="A5">EDATE(A4,3)</f>
        <v>44195</v>
      </c>
      <c r="B5" s="13" cm="1">
        <f t="array" ref="B5">V48</f>
        <v>39836</v>
      </c>
      <c r="C5" s="14">
        <v>16136</v>
      </c>
      <c r="D5" s="15"/>
      <c r="E5" s="14">
        <v>8769</v>
      </c>
      <c r="F5" s="18">
        <v>550</v>
      </c>
      <c r="G5" s="16">
        <v>175810.38</v>
      </c>
      <c r="H5" s="15"/>
      <c r="I5" s="15"/>
      <c r="J5" s="17">
        <v>1580830.44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0.6" customHeight="1">
      <c r="A6" s="12" cm="1">
        <f t="array" ref="A6">EDATE(A5,3)</f>
        <v>44285</v>
      </c>
      <c r="B6" s="13" cm="1">
        <f t="array" ref="B6">U48</f>
        <v>40906</v>
      </c>
      <c r="C6" s="14">
        <v>17018</v>
      </c>
      <c r="D6" s="15"/>
      <c r="E6" s="14">
        <v>8433</v>
      </c>
      <c r="F6" s="18">
        <v>551</v>
      </c>
      <c r="G6" s="17">
        <v>209258.91</v>
      </c>
      <c r="H6" s="15"/>
      <c r="I6" s="15"/>
      <c r="J6" s="19">
        <v>1799506.64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40.6" customHeight="1">
      <c r="A7" s="12" cm="1">
        <f t="array" ref="A7">EDATE(A6,3)</f>
        <v>44377</v>
      </c>
      <c r="B7" s="13" cm="1">
        <f t="array" ref="B7">T48</f>
        <v>38930</v>
      </c>
      <c r="C7" s="14">
        <v>16008</v>
      </c>
      <c r="D7" s="15"/>
      <c r="E7" s="14">
        <v>7922</v>
      </c>
      <c r="F7" s="18">
        <v>552</v>
      </c>
      <c r="G7" s="17">
        <v>209258.91</v>
      </c>
      <c r="H7" s="15"/>
      <c r="I7" s="15"/>
      <c r="J7" s="19">
        <v>1799506.64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40.6" customHeight="1">
      <c r="A8" s="12" cm="1">
        <f t="array" ref="A8">EDATE(A7,3)</f>
        <v>44469</v>
      </c>
      <c r="B8" s="13" cm="1">
        <f t="array" ref="B8">S48</f>
        <v>41433</v>
      </c>
      <c r="C8" s="14">
        <v>17036</v>
      </c>
      <c r="D8" s="15"/>
      <c r="E8" s="14">
        <v>9096</v>
      </c>
      <c r="F8" s="18">
        <v>553</v>
      </c>
      <c r="G8" s="17">
        <v>209258.91</v>
      </c>
      <c r="H8" s="15"/>
      <c r="I8" s="15"/>
      <c r="J8" s="19">
        <v>1799506.64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40.6" customHeight="1">
      <c r="A9" s="12" cm="1">
        <f t="array" ref="A9">EDATE(A8,3)</f>
        <v>44560</v>
      </c>
      <c r="B9" s="13" cm="1">
        <f t="array" ref="B9">R48</f>
        <v>43362</v>
      </c>
      <c r="C9" s="14">
        <v>18033</v>
      </c>
      <c r="D9" s="15"/>
      <c r="E9" s="14">
        <v>10591</v>
      </c>
      <c r="F9" s="20">
        <v>554</v>
      </c>
      <c r="G9" s="17">
        <v>209258.91</v>
      </c>
      <c r="H9" s="15"/>
      <c r="I9" s="15"/>
      <c r="J9" s="19">
        <v>1799506.64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6" customHeight="1">
      <c r="A10" s="12" cm="1">
        <f t="array" ref="A10">EDATE(A9,3)</f>
        <v>44650</v>
      </c>
      <c r="B10" s="13" cm="1">
        <f t="array" ref="B10">Q48</f>
        <v>43958</v>
      </c>
      <c r="C10" s="14">
        <v>17720</v>
      </c>
      <c r="D10" s="15"/>
      <c r="E10" s="14">
        <v>10443</v>
      </c>
      <c r="F10" s="20">
        <v>554</v>
      </c>
      <c r="G10" s="17">
        <v>246771.62</v>
      </c>
      <c r="H10" s="15"/>
      <c r="I10" s="15"/>
      <c r="J10" s="21">
        <v>2122934.3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6" customHeight="1">
      <c r="A11" s="12" cm="1">
        <f t="array" ref="A11">EDATE(A10,3)</f>
        <v>44742</v>
      </c>
      <c r="B11" s="13" cm="1">
        <f t="array" ref="B11">P48</f>
        <v>44200</v>
      </c>
      <c r="C11" s="14">
        <v>16488</v>
      </c>
      <c r="D11" s="15"/>
      <c r="E11" s="14">
        <v>9579</v>
      </c>
      <c r="F11" s="20">
        <v>555</v>
      </c>
      <c r="G11" s="17">
        <v>246771.62</v>
      </c>
      <c r="H11" s="15"/>
      <c r="I11" s="15"/>
      <c r="J11" s="21">
        <v>2122934.3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6" customHeight="1">
      <c r="A12" s="12" cm="1">
        <f t="array" ref="A12">EDATE(A11,3)</f>
        <v>44834</v>
      </c>
      <c r="B12" s="13" cm="1">
        <f t="array" ref="B12">O48</f>
        <v>49179</v>
      </c>
      <c r="C12" s="14">
        <v>18721</v>
      </c>
      <c r="D12" s="15"/>
      <c r="E12" s="14">
        <v>11125</v>
      </c>
      <c r="F12" s="20">
        <v>557</v>
      </c>
      <c r="G12" s="17">
        <v>246771.62</v>
      </c>
      <c r="H12" s="15"/>
      <c r="I12" s="15"/>
      <c r="J12" s="21">
        <v>2122934.3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6" customHeight="1">
      <c r="A13" s="12" cm="1">
        <f t="array" ref="A13">EDATE(A12,3)</f>
        <v>44925</v>
      </c>
      <c r="B13" s="13" cm="1">
        <f t="array" ref="B13">N48</f>
        <v>54120</v>
      </c>
      <c r="C13" s="14">
        <v>20180</v>
      </c>
      <c r="D13" s="15"/>
      <c r="E13" s="14">
        <v>12698</v>
      </c>
      <c r="F13" s="20">
        <v>557</v>
      </c>
      <c r="G13" s="17">
        <v>246771.62</v>
      </c>
      <c r="H13" s="15"/>
      <c r="I13" s="15"/>
      <c r="J13" s="21">
        <v>2122934.3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6" customHeight="1">
      <c r="A14" s="12" cm="1">
        <f t="array" ref="A14">EDATE(A13,3)</f>
        <v>45015</v>
      </c>
      <c r="B14" s="13" cm="1">
        <f t="array" ref="B14">M48</f>
        <v>57157</v>
      </c>
      <c r="C14" s="14">
        <v>19961</v>
      </c>
      <c r="D14" s="15"/>
      <c r="E14" s="14">
        <v>12594</v>
      </c>
      <c r="F14" s="20">
        <v>557</v>
      </c>
      <c r="G14" s="17">
        <v>288879.55</v>
      </c>
      <c r="H14" s="15"/>
      <c r="I14" s="15"/>
      <c r="J14" s="17">
        <v>2530432.43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4.6" customHeight="1">
      <c r="A15" s="12" cm="1">
        <f t="array" ref="A15">EDATE(A14,3)</f>
        <v>45107</v>
      </c>
      <c r="B15" s="13" cm="1">
        <f t="array" ref="B15">L48</f>
        <v>61019</v>
      </c>
      <c r="C15" s="14">
        <v>19888</v>
      </c>
      <c r="D15" s="15"/>
      <c r="E15" s="14">
        <v>12370</v>
      </c>
      <c r="F15" s="20">
        <v>559</v>
      </c>
      <c r="G15" s="17">
        <v>288879.55</v>
      </c>
      <c r="H15" s="15"/>
      <c r="I15" s="15"/>
      <c r="J15" s="17">
        <v>2530432.43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4.6" customHeight="1">
      <c r="A16" s="12" cm="1">
        <f t="array" ref="A16">EDATE(A15,3)</f>
        <v>45199</v>
      </c>
      <c r="B16" s="13" cm="1">
        <f t="array" ref="B16">K48</f>
        <v>107563</v>
      </c>
      <c r="C16" s="14">
        <v>24279</v>
      </c>
      <c r="D16" s="15"/>
      <c r="E16" s="14">
        <v>16811</v>
      </c>
      <c r="F16" s="20">
        <v>758</v>
      </c>
      <c r="G16" s="17">
        <v>288879.55</v>
      </c>
      <c r="H16" s="15"/>
      <c r="I16" s="15"/>
      <c r="J16" s="17">
        <v>2530432.43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4.6" customHeight="1">
      <c r="A17" s="12" cm="1">
        <f t="array" ref="A17">EDATE(A16,3)</f>
        <v>45290</v>
      </c>
      <c r="B17" s="13" cm="1">
        <f t="array" ref="B17">J48</f>
        <v>115013</v>
      </c>
      <c r="C17" s="14">
        <v>25847</v>
      </c>
      <c r="D17" s="15"/>
      <c r="E17" s="14">
        <v>17257</v>
      </c>
      <c r="F17" s="18">
        <v>759</v>
      </c>
      <c r="G17" s="17">
        <v>288879.55</v>
      </c>
      <c r="H17" s="15"/>
      <c r="I17" s="15"/>
      <c r="J17" s="17">
        <v>2530432.43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4.6" customHeight="1">
      <c r="A18" s="12" cm="1">
        <f t="array" ref="A18">EDATE(A17,3)</f>
        <v>45381</v>
      </c>
      <c r="B18" s="13" cm="1">
        <f t="array" ref="B18">I48</f>
        <v>124388</v>
      </c>
      <c r="C18" s="14">
        <v>31571</v>
      </c>
      <c r="D18" s="15"/>
      <c r="E18" s="14">
        <v>17622</v>
      </c>
      <c r="F18" s="18">
        <v>759</v>
      </c>
      <c r="G18" s="17">
        <v>452982.84</v>
      </c>
      <c r="H18" s="15"/>
      <c r="I18" s="15"/>
      <c r="J18" s="17">
        <v>4030194.26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4.6" customHeight="1">
      <c r="A19" s="12" cm="1">
        <f t="array" ref="A19">EDATE(A18,3)</f>
        <v>45473</v>
      </c>
      <c r="B19" s="13" cm="1">
        <f t="array" ref="B19">H48</f>
        <v>116994</v>
      </c>
      <c r="C19" s="14">
        <v>25870</v>
      </c>
      <c r="D19" s="15"/>
      <c r="E19" s="14">
        <v>16474</v>
      </c>
      <c r="F19" s="18">
        <v>760</v>
      </c>
      <c r="G19" s="17">
        <v>452982.84</v>
      </c>
      <c r="H19" s="15"/>
      <c r="I19" s="15"/>
      <c r="J19" s="17">
        <v>4030194.26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4.6" customHeight="1">
      <c r="A20" s="12" cm="1">
        <f t="array" ref="A20">EDATE(A19,3)</f>
        <v>45565</v>
      </c>
      <c r="B20" s="13" cm="1">
        <f t="array" ref="B20">G48</f>
        <v>121455</v>
      </c>
      <c r="C20" s="14">
        <v>27237</v>
      </c>
      <c r="D20" s="15"/>
      <c r="E20" s="14">
        <v>17825</v>
      </c>
      <c r="F20" s="18">
        <v>763</v>
      </c>
      <c r="G20" s="17">
        <v>452982.84</v>
      </c>
      <c r="H20" s="15"/>
      <c r="I20" s="15"/>
      <c r="J20" s="17">
        <v>4030194.26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4.6" customHeight="1">
      <c r="A21" s="12" cm="1">
        <f t="array" ref="A21">EDATE(A20,3)</f>
        <v>45656</v>
      </c>
      <c r="B21" s="13" cm="1">
        <f t="array" ref="B21">F48</f>
        <v>112192</v>
      </c>
      <c r="C21" s="14">
        <v>27930</v>
      </c>
      <c r="D21" s="15"/>
      <c r="E21" s="14">
        <v>17656</v>
      </c>
      <c r="F21" s="18">
        <v>764</v>
      </c>
      <c r="G21" s="17">
        <v>452982.84</v>
      </c>
      <c r="H21" s="15"/>
      <c r="I21" s="15"/>
      <c r="J21" s="17">
        <v>4030194.26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4.6" customHeight="1">
      <c r="A22" s="12" cm="1">
        <f t="array" ref="A22">EDATE(A21,3)</f>
        <v>45746</v>
      </c>
      <c r="B22" s="13" cm="1">
        <f t="array" ref="B22">E48</f>
        <v>120266</v>
      </c>
      <c r="C22" s="14">
        <v>29378</v>
      </c>
      <c r="D22" s="15"/>
      <c r="E22" s="14">
        <v>18834</v>
      </c>
      <c r="F22" s="18">
        <v>765</v>
      </c>
      <c r="G22" s="17">
        <v>517218.98</v>
      </c>
      <c r="H22" s="15"/>
      <c r="I22" s="15"/>
      <c r="J22" s="17">
        <v>4392417.42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4.6" customHeight="1">
      <c r="A23" s="12" cm="1">
        <f t="array" ref="A23">EDATE(A22,3)</f>
        <v>45838</v>
      </c>
      <c r="B23" s="13" cm="1">
        <f t="array" ref="B23">D48</f>
        <v>133053</v>
      </c>
      <c r="C23" s="14">
        <v>36163</v>
      </c>
      <c r="D23" s="15"/>
      <c r="E23" s="14">
        <v>16257</v>
      </c>
      <c r="F23" s="18">
        <v>766</v>
      </c>
      <c r="G23" s="17">
        <v>517218.98</v>
      </c>
      <c r="H23" s="15"/>
      <c r="I23" s="15"/>
      <c r="J23" s="17">
        <v>4392417.42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4.6" customHeight="1">
      <c r="A24" s="12" cm="1">
        <f t="array" ref="A24">EDATE(A23,3)</f>
        <v>45930</v>
      </c>
      <c r="B24" s="13" cm="1">
        <f t="array" ref="B24">C48</f>
        <v>118557</v>
      </c>
      <c r="C24" s="14">
        <v>30940</v>
      </c>
      <c r="D24" s="15"/>
      <c r="E24" s="14">
        <v>19610</v>
      </c>
      <c r="F24" s="14">
        <v>1536</v>
      </c>
      <c r="G24" s="17">
        <v>517218.98</v>
      </c>
      <c r="H24" s="15"/>
      <c r="I24" s="15"/>
      <c r="J24" s="17">
        <v>4392417.42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4.6" customHeight="1">
      <c r="A25" s="12" cm="1">
        <f t="array" ref="A25">EDATE(A24,3)</f>
        <v>46021</v>
      </c>
      <c r="B25" s="13" cm="1">
        <f t="array" ref="B25">B48</f>
        <v>126926</v>
      </c>
      <c r="C25" s="14">
        <v>30581</v>
      </c>
      <c r="D25" s="15"/>
      <c r="E25" s="14">
        <v>19806</v>
      </c>
      <c r="F25" s="14">
        <v>1538</v>
      </c>
      <c r="G25" s="17">
        <v>517218.98</v>
      </c>
      <c r="H25" s="15"/>
      <c r="I25" s="15"/>
      <c r="J25" s="17">
        <v>4392417.42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7" customHeight="1">
      <c r="A26" s="12"/>
      <c r="B26" s="22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7" customHeight="1">
      <c r="A27" s="12"/>
      <c r="B27" s="22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7" customHeight="1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6"/>
      <c r="T28" s="26"/>
      <c r="U28" s="26"/>
      <c r="V28" s="26"/>
      <c r="W28" s="26"/>
      <c r="X28" s="26"/>
      <c r="Y28" s="27"/>
      <c r="Z28" s="15"/>
    </row>
    <row r="29" ht="20.7" customHeight="1">
      <c r="A29" s="12"/>
      <c r="B29" s="2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7" customHeight="1">
      <c r="A30" s="12"/>
      <c r="B30" s="28"/>
      <c r="C30" s="26"/>
      <c r="D30" s="26"/>
      <c r="E30" s="26"/>
      <c r="F30" s="26"/>
      <c r="G30" s="27"/>
      <c r="H30" s="29"/>
      <c r="I30" s="29"/>
      <c r="J30" s="29"/>
      <c r="K30" s="29"/>
      <c r="L30" s="29"/>
      <c r="M30" s="29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7" customHeight="1">
      <c r="A31" s="12"/>
      <c r="B31" s="22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7" customHeight="1">
      <c r="A32" s="12"/>
      <c r="B32" s="22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7" customHeight="1">
      <c r="A33" s="12"/>
      <c r="B33" s="22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7" customHeight="1">
      <c r="A34" s="12"/>
      <c r="B34" s="22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7" customHeight="1">
      <c r="A35" s="12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7" customHeight="1">
      <c r="A36" s="12"/>
      <c r="B36" s="2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56.6" customHeight="1">
      <c r="A37" s="12"/>
      <c r="B37" s="23"/>
      <c r="C37" s="24"/>
      <c r="D37" s="29"/>
      <c r="E37" s="29"/>
      <c r="F37" s="29"/>
      <c r="G37" s="29"/>
      <c r="H37" s="29"/>
      <c r="I37" s="29"/>
      <c r="J37" s="30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  <c r="Z37" s="29"/>
    </row>
    <row r="38" ht="56.6" customHeight="1">
      <c r="A38" s="12"/>
      <c r="B38" s="28"/>
      <c r="C38" s="26"/>
      <c r="D38" s="26"/>
      <c r="E38" s="26"/>
      <c r="F38" s="26"/>
      <c r="G38" s="26"/>
      <c r="H38" s="26"/>
      <c r="I38" s="26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4"/>
      <c r="Z38" s="29"/>
    </row>
    <row r="39" ht="20.7" customHeight="1">
      <c r="A39" s="12"/>
      <c r="B39" s="22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7" customHeight="1">
      <c r="A40" s="12"/>
      <c r="B40" s="22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7" customHeight="1">
      <c r="A41" s="12"/>
      <c r="B41" s="22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7" customHeight="1">
      <c r="A42" s="12"/>
      <c r="B42" s="22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56.6" customHeight="1">
      <c r="A43" s="12"/>
      <c r="B43" s="23">
        <v>64114</v>
      </c>
      <c r="C43" s="24">
        <v>63309</v>
      </c>
      <c r="D43" s="24">
        <v>64147</v>
      </c>
      <c r="E43" s="24">
        <v>64006</v>
      </c>
      <c r="F43" s="24">
        <v>63363</v>
      </c>
      <c r="G43" s="24">
        <v>62707</v>
      </c>
      <c r="H43" s="24">
        <v>61875</v>
      </c>
      <c r="I43" s="24">
        <v>61102</v>
      </c>
      <c r="J43" s="24">
        <v>59527</v>
      </c>
      <c r="K43" s="24">
        <v>56896</v>
      </c>
      <c r="L43" s="24">
        <v>40452</v>
      </c>
      <c r="M43" s="24">
        <v>37873</v>
      </c>
      <c r="N43" s="24">
        <v>35850</v>
      </c>
      <c r="O43" s="24">
        <v>32629</v>
      </c>
      <c r="P43" s="24">
        <v>29413</v>
      </c>
      <c r="Q43" s="24">
        <v>27942</v>
      </c>
      <c r="R43" s="24">
        <v>26907</v>
      </c>
      <c r="S43" s="24">
        <v>26163</v>
      </c>
      <c r="T43" s="24">
        <v>25280</v>
      </c>
      <c r="U43" s="24">
        <v>25898</v>
      </c>
      <c r="V43" s="24">
        <v>25302</v>
      </c>
      <c r="W43" s="24">
        <v>25119</v>
      </c>
      <c r="X43" s="24">
        <v>25978</v>
      </c>
      <c r="Y43" s="24">
        <v>25919</v>
      </c>
      <c r="Z43" s="29"/>
    </row>
    <row r="44" ht="56.6" customHeight="1">
      <c r="A44" s="12"/>
      <c r="B44" s="23">
        <v>20580</v>
      </c>
      <c r="C44" s="24">
        <v>21328</v>
      </c>
      <c r="D44" s="24">
        <v>20817</v>
      </c>
      <c r="E44" s="24">
        <v>19733</v>
      </c>
      <c r="F44" s="24">
        <v>18878</v>
      </c>
      <c r="G44" s="24">
        <v>17826</v>
      </c>
      <c r="H44" s="24">
        <v>17474</v>
      </c>
      <c r="I44" s="24">
        <v>15982</v>
      </c>
      <c r="J44" s="24">
        <v>16573</v>
      </c>
      <c r="K44" s="24">
        <v>16091</v>
      </c>
      <c r="L44" s="24">
        <v>8877</v>
      </c>
      <c r="M44" s="24">
        <v>8390</v>
      </c>
      <c r="N44" s="24">
        <v>7964</v>
      </c>
      <c r="O44" s="24">
        <v>7680</v>
      </c>
      <c r="P44" s="24">
        <v>7137</v>
      </c>
      <c r="Q44" s="24">
        <v>6512</v>
      </c>
      <c r="R44" s="24">
        <v>6474</v>
      </c>
      <c r="S44" s="24">
        <v>6443</v>
      </c>
      <c r="T44" s="24">
        <v>6476</v>
      </c>
      <c r="U44" s="24">
        <v>6181</v>
      </c>
      <c r="V44" s="24">
        <v>5807</v>
      </c>
      <c r="W44" s="24">
        <v>5622</v>
      </c>
      <c r="X44" s="24">
        <v>5599</v>
      </c>
      <c r="Y44" s="24">
        <v>5075</v>
      </c>
      <c r="Z44" s="29"/>
    </row>
    <row r="45" ht="56.6" customHeight="1">
      <c r="A45" s="12"/>
      <c r="B45" s="35">
        <v>773</v>
      </c>
      <c r="C45" s="20">
        <v>738</v>
      </c>
      <c r="D45" s="20">
        <v>826</v>
      </c>
      <c r="E45" s="20">
        <v>761</v>
      </c>
      <c r="F45" s="20">
        <v>925</v>
      </c>
      <c r="G45" s="20">
        <v>849</v>
      </c>
      <c r="H45" s="20">
        <v>636</v>
      </c>
      <c r="I45" s="20">
        <v>824</v>
      </c>
      <c r="J45" s="20">
        <v>471</v>
      </c>
      <c r="K45" s="20">
        <v>489</v>
      </c>
      <c r="L45" s="20">
        <v>848</v>
      </c>
      <c r="M45" s="20">
        <v>373</v>
      </c>
      <c r="N45" s="20">
        <v>265</v>
      </c>
      <c r="O45" s="20">
        <v>190</v>
      </c>
      <c r="P45" s="20">
        <v>319</v>
      </c>
      <c r="Q45" s="20">
        <v>717</v>
      </c>
      <c r="R45" s="20">
        <v>884</v>
      </c>
      <c r="S45" s="20">
        <v>708</v>
      </c>
      <c r="T45" s="20">
        <v>320</v>
      </c>
      <c r="U45" s="20">
        <v>331</v>
      </c>
      <c r="V45" s="20">
        <v>588</v>
      </c>
      <c r="W45" s="20">
        <v>853</v>
      </c>
      <c r="X45" s="20">
        <v>641</v>
      </c>
      <c r="Y45" s="20">
        <v>641</v>
      </c>
      <c r="Z45" s="29"/>
    </row>
    <row r="46" ht="56.6" customHeight="1">
      <c r="A46" s="12"/>
      <c r="B46" s="23">
        <v>1599</v>
      </c>
      <c r="C46" s="24">
        <v>1616</v>
      </c>
      <c r="D46" s="24">
        <v>1580</v>
      </c>
      <c r="E46" s="24">
        <v>2277</v>
      </c>
      <c r="F46" s="24">
        <v>1873</v>
      </c>
      <c r="G46" s="24">
        <v>1618</v>
      </c>
      <c r="H46" s="24">
        <v>1559</v>
      </c>
      <c r="I46" s="24">
        <v>1523</v>
      </c>
      <c r="J46" s="24">
        <v>1435</v>
      </c>
      <c r="K46" s="24">
        <v>1560</v>
      </c>
      <c r="L46" s="20">
        <v>989</v>
      </c>
      <c r="M46" s="20">
        <v>911</v>
      </c>
      <c r="N46" s="20">
        <v>921</v>
      </c>
      <c r="O46" s="20">
        <v>428</v>
      </c>
      <c r="P46" s="20">
        <v>403</v>
      </c>
      <c r="Q46" s="20">
        <v>401</v>
      </c>
      <c r="R46" s="20">
        <v>321</v>
      </c>
      <c r="S46" s="20">
        <v>204</v>
      </c>
      <c r="T46" s="20">
        <v>175</v>
      </c>
      <c r="U46" s="20">
        <v>194</v>
      </c>
      <c r="V46" s="20">
        <v>152</v>
      </c>
      <c r="W46" s="20">
        <v>147</v>
      </c>
      <c r="X46" s="20">
        <v>132</v>
      </c>
      <c r="Y46" s="20">
        <v>158</v>
      </c>
      <c r="Z46" s="29"/>
    </row>
    <row r="47" ht="56.6" customHeight="1">
      <c r="A47" s="12"/>
      <c r="B47" s="23">
        <v>39860</v>
      </c>
      <c r="C47" s="24">
        <v>31566</v>
      </c>
      <c r="D47" s="24">
        <v>45683</v>
      </c>
      <c r="E47" s="24">
        <v>33489</v>
      </c>
      <c r="F47" s="24">
        <v>27153</v>
      </c>
      <c r="G47" s="24">
        <v>38455</v>
      </c>
      <c r="H47" s="24">
        <v>35450</v>
      </c>
      <c r="I47" s="24">
        <v>44957</v>
      </c>
      <c r="J47" s="24">
        <v>37007</v>
      </c>
      <c r="K47" s="24">
        <v>32527</v>
      </c>
      <c r="L47" s="24">
        <v>9853</v>
      </c>
      <c r="M47" s="24">
        <v>9610</v>
      </c>
      <c r="N47" s="24">
        <v>9120</v>
      </c>
      <c r="O47" s="24">
        <v>8252</v>
      </c>
      <c r="P47" s="24">
        <v>6928</v>
      </c>
      <c r="Q47" s="24">
        <v>8386</v>
      </c>
      <c r="R47" s="24">
        <v>8776</v>
      </c>
      <c r="S47" s="24">
        <v>7915</v>
      </c>
      <c r="T47" s="24">
        <v>6679</v>
      </c>
      <c r="U47" s="24">
        <v>8302</v>
      </c>
      <c r="V47" s="24">
        <v>7987</v>
      </c>
      <c r="W47" s="24">
        <v>6696</v>
      </c>
      <c r="X47" s="24">
        <v>4346</v>
      </c>
      <c r="Y47" s="24">
        <v>6492</v>
      </c>
      <c r="Z47" s="29"/>
    </row>
    <row r="48" ht="20.7" customHeight="1">
      <c r="A48" s="12"/>
      <c r="B48" s="13" cm="1">
        <f t="array" ref="B48">SUM(B43,B44,B45,B46,B47)</f>
        <v>126926</v>
      </c>
      <c r="C48" s="36" cm="1">
        <f t="array" ref="C48">SUM(C43,C44,C45,C46,C47)</f>
        <v>118557</v>
      </c>
      <c r="D48" s="36" cm="1">
        <f t="array" ref="D48">SUM(D43,D44,D45,D46,D47)</f>
        <v>133053</v>
      </c>
      <c r="E48" s="36" cm="1">
        <f t="array" ref="E48">SUM(E43,E44,E45,E46,E47)</f>
        <v>120266</v>
      </c>
      <c r="F48" s="36" cm="1">
        <f t="array" ref="F48">SUM(F43,F44,F45,F46,F47)</f>
        <v>112192</v>
      </c>
      <c r="G48" s="36" cm="1">
        <f t="array" ref="G48">SUM(G43,G44,G45,G46,G47)</f>
        <v>121455</v>
      </c>
      <c r="H48" s="36" cm="1">
        <f t="array" ref="H48">SUM(H43,H44,H45,H46,H47)</f>
        <v>116994</v>
      </c>
      <c r="I48" s="36" cm="1">
        <f t="array" ref="I48">SUM(I43,I44,I45,I46,I47)</f>
        <v>124388</v>
      </c>
      <c r="J48" s="36" cm="1">
        <f t="array" ref="J48">SUM(J43,J44,J45,J46,J47)</f>
        <v>115013</v>
      </c>
      <c r="K48" s="36" cm="1">
        <f t="array" ref="K48">SUM(K43,K44,K45,K46,K47)</f>
        <v>107563</v>
      </c>
      <c r="L48" s="36" cm="1">
        <f t="array" ref="L48">SUM(L43,L44,L45,L46,L47)</f>
        <v>61019</v>
      </c>
      <c r="M48" s="36" cm="1">
        <f t="array" ref="M48">SUM(M43,M44,M45,M46,M47)</f>
        <v>57157</v>
      </c>
      <c r="N48" s="36" cm="1">
        <f t="array" ref="N48">SUM(N43,N44,N45,N46,N47)</f>
        <v>54120</v>
      </c>
      <c r="O48" s="36" cm="1">
        <f t="array" ref="O48">SUM(O43,O44,O45,O46,O47)</f>
        <v>49179</v>
      </c>
      <c r="P48" s="36" cm="1">
        <f t="array" ref="P48">SUM(P43,P44,P45,P46,P47)</f>
        <v>44200</v>
      </c>
      <c r="Q48" s="36" cm="1">
        <f t="array" ref="Q48">SUM(Q43,Q44,Q45,Q46,Q47)</f>
        <v>43958</v>
      </c>
      <c r="R48" s="36" cm="1">
        <f t="array" ref="R48">SUM(R43,R44,R45,R46,R47)</f>
        <v>43362</v>
      </c>
      <c r="S48" s="36" cm="1">
        <f t="array" ref="S48">SUM(S43,S44,S45,S46,S47)</f>
        <v>41433</v>
      </c>
      <c r="T48" s="36" cm="1">
        <f t="array" ref="T48">SUM(T43,T44,T45,T46,T47)</f>
        <v>38930</v>
      </c>
      <c r="U48" s="36" cm="1">
        <f t="array" ref="U48">SUM(U43,U44,U45,U46,U47)</f>
        <v>40906</v>
      </c>
      <c r="V48" s="36" cm="1">
        <f t="array" ref="V48">SUM(V43,V44,V45,V46,V47)</f>
        <v>39836</v>
      </c>
      <c r="W48" s="36" cm="1">
        <f t="array" ref="W48">SUM(W43,W44,W45,W46,W47)</f>
        <v>38437</v>
      </c>
      <c r="X48" s="36" cm="1">
        <f t="array" ref="X48">SUM(X43,X44,X45,X46,X47)</f>
        <v>36696</v>
      </c>
      <c r="Y48" s="36" cm="1">
        <f t="array" ref="Y48">SUM(Y43,Y44,Y45,Y46,Y47)</f>
        <v>38285</v>
      </c>
      <c r="Z48" s="37" cm="1">
        <f t="array" ref="Z48">SUM(Z43,Z44,Z45,Z46,Z47)</f>
        <v>0</v>
      </c>
    </row>
    <row r="49" ht="56.6" customHeight="1">
      <c r="A49" s="12"/>
      <c r="B49" s="23"/>
      <c r="C49" s="25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38"/>
    </row>
    <row r="50" ht="20.7" customHeight="1">
      <c r="A50" s="12"/>
      <c r="B50" s="22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7" customHeight="1">
      <c r="A51" s="12"/>
      <c r="B51" s="22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7" customHeight="1">
      <c r="A52" s="12"/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7" customHeight="1">
      <c r="A53" s="12"/>
      <c r="B53" s="22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7" customHeight="1">
      <c r="A54" s="12"/>
      <c r="B54" s="22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7" customHeight="1">
      <c r="A55" s="12"/>
      <c r="B55" s="22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7" customHeight="1">
      <c r="A56" s="12"/>
      <c r="B56" s="22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7" customHeight="1">
      <c r="A57" s="12"/>
      <c r="B57" s="22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7" customHeight="1">
      <c r="A58" s="12"/>
      <c r="B58" s="22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7" customHeight="1">
      <c r="A59" s="12"/>
      <c r="B59" s="22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7" customHeight="1">
      <c r="A60" s="12"/>
      <c r="B60" s="22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7" customHeight="1">
      <c r="A61" s="12"/>
      <c r="B61" s="22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7" customHeight="1">
      <c r="A62" s="12"/>
      <c r="B62" s="22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7" customHeight="1">
      <c r="A63" s="12"/>
      <c r="B63" s="22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7" customHeight="1">
      <c r="A64" s="12"/>
      <c r="B64" s="22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7" customHeight="1">
      <c r="A65" s="12"/>
      <c r="B65" s="22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7" customHeight="1">
      <c r="A66" s="12"/>
      <c r="B66" s="22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7" customHeight="1">
      <c r="A67" s="12"/>
      <c r="B67" s="22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7" customHeight="1">
      <c r="A68" s="12"/>
      <c r="B68" s="22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7" customHeight="1">
      <c r="A69" s="12"/>
      <c r="B69" s="22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7" customHeight="1">
      <c r="A70" s="12"/>
      <c r="B70" s="22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7" customHeight="1">
      <c r="A71" s="12"/>
      <c r="B71" s="2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7" customHeight="1">
      <c r="A72" s="12"/>
      <c r="B72" s="22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7" customHeight="1">
      <c r="A73" s="12"/>
      <c r="B73" s="22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7" customHeight="1">
      <c r="A74" s="12"/>
      <c r="B74" s="22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7" customHeight="1">
      <c r="A75" s="12"/>
      <c r="B75" s="22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7" customHeight="1">
      <c r="A76" s="12"/>
      <c r="B76" s="22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7" customHeight="1">
      <c r="A77" s="12"/>
      <c r="B77" s="22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7" customHeight="1">
      <c r="A78" s="12"/>
      <c r="B78" s="22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7" customHeight="1">
      <c r="A79" s="12"/>
      <c r="B79" s="22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7" customHeight="1">
      <c r="A80" s="12"/>
      <c r="B80" s="22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7" customHeight="1">
      <c r="A81" s="12"/>
      <c r="B81" s="22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7" customHeight="1">
      <c r="A82" s="12"/>
      <c r="B82" s="22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7" customHeight="1">
      <c r="A83" s="12"/>
      <c r="B83" s="22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7" customHeight="1">
      <c r="A84" s="12"/>
      <c r="B84" s="22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7" customHeight="1">
      <c r="A85" s="12"/>
      <c r="B85" s="22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7" customHeight="1">
      <c r="A86" s="12"/>
      <c r="B86" s="22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7" customHeight="1">
      <c r="A87" s="12"/>
      <c r="B87" s="22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7" customHeight="1">
      <c r="A88" s="12"/>
      <c r="B88" s="22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7" customHeight="1">
      <c r="A89" s="12"/>
      <c r="B89" s="22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7" customHeight="1">
      <c r="A90" s="12"/>
      <c r="B90" s="22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7" customHeight="1">
      <c r="A91" s="12"/>
      <c r="B91" s="22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7" customHeight="1">
      <c r="A92" s="12"/>
      <c r="B92" s="22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7" customHeight="1">
      <c r="A93" s="12"/>
      <c r="B93" s="22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7" customHeight="1">
      <c r="A94" s="12"/>
      <c r="B94" s="22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7" customHeight="1">
      <c r="A95" s="12"/>
      <c r="B95" s="22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7" customHeight="1">
      <c r="A96" s="12"/>
      <c r="B96" s="22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7" customHeight="1">
      <c r="A97" s="12"/>
      <c r="B97" s="22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7" customHeight="1">
      <c r="A98" s="12"/>
      <c r="B98" s="22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7" customHeight="1">
      <c r="A99" s="12"/>
      <c r="B99" s="22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7" customHeight="1">
      <c r="A100" s="12"/>
      <c r="B100" s="22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7" customHeight="1">
      <c r="A101" s="12"/>
      <c r="B101" s="22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7" customHeight="1">
      <c r="A102" s="12"/>
      <c r="B102" s="22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7" customHeight="1">
      <c r="A103" s="12"/>
      <c r="B103" s="22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7" customHeight="1">
      <c r="A104" s="12"/>
      <c r="B104" s="22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</sheetData>
  <mergeCells count="1">
    <mergeCell ref="Y49:Z49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