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<sst xmlns="http://schemas.openxmlformats.org/spreadsheetml/2006/main" uniqueCount="11">
  <si>
    <t>DATE</t>
  </si>
  <si>
    <t>revenue</t>
  </si>
  <si>
    <t>Operating Profit</t>
  </si>
  <si>
    <t>Interest</t>
  </si>
  <si>
    <t>Net Profit</t>
  </si>
  <si>
    <t>Equity share capital</t>
  </si>
  <si>
    <t>Reserves Exclui,rrding Revaluation Reserves</t>
  </si>
  <si>
    <t>Total Debt</t>
  </si>
  <si>
    <t>Cash and Bank Balance</t>
  </si>
  <si>
    <t>Total Assets</t>
  </si>
  <si>
    <t>Depreciation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</si>
</sst>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/yyyy"/>
  </numFmts>
  <fonts count="9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b val="1"/>
      <sz val="12"/>
      <color indexed="8"/>
      <name val="Arial"/>
    </font>
    <font>
      <sz val="12"/>
      <color indexed="8"/>
      <name val="Arial"/>
    </font>
    <font>
      <sz val="14"/>
      <color indexed="13"/>
      <name val="Helvetica Neue"/>
    </font>
    <font>
      <sz val="14"/>
      <color indexed="15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7"/>
      </right>
      <top style="thin">
        <color indexed="10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7"/>
      </right>
      <top/>
      <bottom/>
      <diagonal/>
    </border>
    <border>
      <left style="thin">
        <color indexed="11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7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4" fillId="2" borderId="2" applyNumberFormat="1" applyFont="1" applyFill="1" applyBorder="1" applyAlignment="1" applyProtection="0">
      <alignment vertical="top" wrapText="1"/>
    </xf>
    <xf numFmtId="49" fontId="5" fillId="2" borderId="1" applyNumberFormat="1" applyFont="1" applyFill="1" applyBorder="1" applyAlignment="1" applyProtection="0">
      <alignment horizontal="left" vertical="top" wrapText="1"/>
    </xf>
    <xf numFmtId="49" fontId="6" fillId="2" borderId="1" applyNumberFormat="1" applyFont="1" applyFill="1" applyBorder="1" applyAlignment="1" applyProtection="0">
      <alignment horizontal="left" vertical="top" wrapText="1"/>
    </xf>
    <xf numFmtId="49" fontId="6" fillId="2" borderId="2" applyNumberFormat="1" applyFont="1" applyFill="1" applyBorder="1" applyAlignment="1" applyProtection="0">
      <alignment horizontal="left" vertical="top" wrapText="1"/>
    </xf>
    <xf numFmtId="59" fontId="3" fillId="3" borderId="3" applyNumberFormat="1" applyFont="1" applyFill="1" applyBorder="1" applyAlignment="1" applyProtection="0">
      <alignment vertical="top" wrapText="1"/>
    </xf>
    <xf numFmtId="3" fontId="7" fillId="4" borderId="2" applyNumberFormat="1" applyFont="1" applyFill="1" applyBorder="1" applyAlignment="1" applyProtection="0">
      <alignment vertical="center" wrapText="1"/>
    </xf>
    <xf numFmtId="0" fontId="7" fillId="4" borderId="2" applyNumberFormat="1" applyFont="1" applyFill="1" applyBorder="1" applyAlignment="1" applyProtection="0">
      <alignment vertical="center" wrapText="1"/>
    </xf>
    <xf numFmtId="4" fontId="8" fillId="4" borderId="3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4" fontId="8" fillId="5" borderId="3" applyNumberFormat="1" applyFont="1" applyFill="1" applyBorder="1" applyAlignment="1" applyProtection="0">
      <alignment vertical="top" wrapText="1"/>
    </xf>
    <xf numFmtId="14" fontId="3" fillId="3" borderId="2" applyNumberFormat="1" applyFont="1" applyFill="1" applyBorder="1" applyAlignment="1" applyProtection="0">
      <alignment vertical="top" wrapText="1"/>
    </xf>
    <xf numFmtId="4" fontId="8" fillId="4" borderId="2" applyNumberFormat="1" applyFont="1" applyFill="1" applyBorder="1" applyAlignment="1" applyProtection="0">
      <alignment vertical="top" wrapText="1"/>
    </xf>
    <xf numFmtId="0" fontId="0" fillId="4" borderId="2" applyNumberFormat="0" applyFont="1" applyFill="1" applyBorder="1" applyAlignment="1" applyProtection="0">
      <alignment vertical="top" wrapText="1"/>
    </xf>
    <xf numFmtId="4" fontId="8" fillId="5" borderId="2" applyNumberFormat="1" applyFont="1" applyFill="1" applyBorder="1" applyAlignment="1" applyProtection="0">
      <alignment vertical="top" wrapText="1"/>
    </xf>
    <xf numFmtId="3" fontId="7" fillId="4" borderId="2" applyNumberFormat="1" applyFont="1" applyFill="1" applyBorder="1" applyAlignment="1" applyProtection="0">
      <alignment vertical="top" wrapText="1"/>
    </xf>
    <xf numFmtId="14" fontId="3" fillId="3" borderId="4" applyNumberFormat="1" applyFont="1" applyFill="1" applyBorder="1" applyAlignment="1" applyProtection="0">
      <alignment vertical="top" wrapText="1"/>
    </xf>
    <xf numFmtId="3" fontId="7" fillId="4" borderId="5" applyNumberFormat="1" applyFont="1" applyFill="1" applyBorder="1" applyAlignment="1" applyProtection="0">
      <alignment vertical="center" wrapText="1"/>
    </xf>
    <xf numFmtId="0" fontId="7" fillId="4" borderId="5" applyNumberFormat="1" applyFont="1" applyFill="1" applyBorder="1" applyAlignment="1" applyProtection="0">
      <alignment vertical="center" wrapText="1"/>
    </xf>
    <xf numFmtId="3" fontId="7" fillId="4" borderId="6" applyNumberFormat="1" applyFont="1" applyFill="1" applyBorder="1" applyAlignment="1" applyProtection="0">
      <alignment vertical="center" wrapText="1"/>
    </xf>
    <xf numFmtId="4" fontId="8" fillId="5" borderId="4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272727"/>
      <rgbColor rgb="ffffffff"/>
      <rgbColor rgb="ff333333"/>
      <rgbColor rgb="fff6f8f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99"/>
  <sheetViews>
    <sheetView workbookViewId="0" showGridLines="0" defaultGridColor="1"/>
  </sheetViews>
  <sheetFormatPr defaultColWidth="16.3333" defaultRowHeight="19.9" customHeight="1" outlineLevelRow="0" outlineLevelCol="0"/>
  <cols>
    <col min="1" max="25" width="16.3516" style="1" customWidth="1"/>
    <col min="26" max="16384" width="16.3516" style="1" customWidth="1"/>
  </cols>
  <sheetData>
    <row r="1" ht="56.7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t="s" s="3">
        <v>5</v>
      </c>
      <c r="G1" t="s" s="2">
        <v>6</v>
      </c>
      <c r="H1" t="s" s="5">
        <v>7</v>
      </c>
      <c r="I1" t="s" s="6">
        <v>8</v>
      </c>
      <c r="J1" t="s" s="5">
        <v>9</v>
      </c>
      <c r="K1" t="s" s="7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40.6" customHeight="1">
      <c r="A2" s="8">
        <v>43921</v>
      </c>
      <c r="B2" s="9">
        <v>23267</v>
      </c>
      <c r="C2" s="9">
        <v>4927</v>
      </c>
      <c r="D2" s="10">
        <v>45</v>
      </c>
      <c r="E2" s="9">
        <v>4321</v>
      </c>
      <c r="F2" s="9">
        <v>2122</v>
      </c>
      <c r="G2" s="11">
        <v>59808</v>
      </c>
      <c r="H2" s="12"/>
      <c r="I2" s="11">
        <v>13562</v>
      </c>
      <c r="J2" s="13">
        <v>81041</v>
      </c>
      <c r="K2" s="10">
        <v>749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ht="40.6" customHeight="1">
      <c r="A3" s="14" cm="1">
        <f t="array" ref="A3">EDATE(A2,3)</f>
        <v>44012</v>
      </c>
      <c r="B3" s="9">
        <v>23665</v>
      </c>
      <c r="C3" s="9">
        <v>5365</v>
      </c>
      <c r="D3" s="10">
        <v>48</v>
      </c>
      <c r="E3" s="9">
        <v>4233</v>
      </c>
      <c r="F3" s="9">
        <v>2122</v>
      </c>
      <c r="G3" s="15">
        <v>59808</v>
      </c>
      <c r="H3" s="16"/>
      <c r="I3" s="15">
        <v>13562</v>
      </c>
      <c r="J3" s="17">
        <v>81041</v>
      </c>
      <c r="K3" s="10">
        <v>756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ht="40.6" customHeight="1">
      <c r="A4" s="14" cm="1">
        <f t="array" ref="A4">EDATE(A3,3)</f>
        <v>44104</v>
      </c>
      <c r="B4" s="9">
        <v>24570</v>
      </c>
      <c r="C4" s="9">
        <v>6228</v>
      </c>
      <c r="D4" s="10">
        <v>48</v>
      </c>
      <c r="E4" s="9">
        <v>4845</v>
      </c>
      <c r="F4" s="9">
        <v>2122</v>
      </c>
      <c r="G4" s="15">
        <v>59808</v>
      </c>
      <c r="H4" s="16"/>
      <c r="I4" s="15">
        <v>13562</v>
      </c>
      <c r="J4" s="17">
        <v>81041</v>
      </c>
      <c r="K4" s="10">
        <v>855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ht="40.6" customHeight="1">
      <c r="A5" s="14" cm="1">
        <f t="array" ref="A5">EDATE(A4,3)</f>
        <v>44195</v>
      </c>
      <c r="B5" s="9">
        <v>25927</v>
      </c>
      <c r="C5" s="9">
        <v>6589</v>
      </c>
      <c r="D5" s="10">
        <v>49</v>
      </c>
      <c r="E5" s="9">
        <v>5197</v>
      </c>
      <c r="F5" s="9">
        <v>2123</v>
      </c>
      <c r="G5" s="15">
        <v>59808</v>
      </c>
      <c r="H5" s="16"/>
      <c r="I5" s="15">
        <v>13562</v>
      </c>
      <c r="J5" s="17">
        <v>81041</v>
      </c>
      <c r="K5" s="18">
        <v>826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ht="40.6" customHeight="1">
      <c r="A6" s="14" cm="1">
        <f t="array" ref="A6">EDATE(A5,3)</f>
        <v>44285</v>
      </c>
      <c r="B6" s="9">
        <v>26311</v>
      </c>
      <c r="C6" s="9">
        <v>6440</v>
      </c>
      <c r="D6" s="10">
        <v>50</v>
      </c>
      <c r="E6" s="9">
        <v>5076</v>
      </c>
      <c r="F6" s="9">
        <v>2124</v>
      </c>
      <c r="G6" s="17">
        <v>69029</v>
      </c>
      <c r="H6" s="16"/>
      <c r="I6" s="15">
        <v>17612</v>
      </c>
      <c r="J6" s="17">
        <v>93939</v>
      </c>
      <c r="K6" s="10">
        <v>831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ht="40.6" customHeight="1">
      <c r="A7" s="14" cm="1">
        <f t="array" ref="A7">EDATE(A6,3)</f>
        <v>44377</v>
      </c>
      <c r="B7" s="9">
        <v>27896</v>
      </c>
      <c r="C7" s="9">
        <v>6603</v>
      </c>
      <c r="D7" s="10">
        <v>49</v>
      </c>
      <c r="E7" s="9">
        <v>5195</v>
      </c>
      <c r="F7" s="9">
        <v>2122</v>
      </c>
      <c r="G7" s="17">
        <v>69029</v>
      </c>
      <c r="H7" s="16"/>
      <c r="I7" s="15">
        <v>17612</v>
      </c>
      <c r="J7" s="17">
        <v>93939</v>
      </c>
      <c r="K7" s="10">
        <v>829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ht="40.6" customHeight="1">
      <c r="A8" s="14" cm="1">
        <f t="array" ref="A8">EDATE(A7,3)</f>
        <v>44469</v>
      </c>
      <c r="B8" s="9">
        <v>29602</v>
      </c>
      <c r="C8" s="9">
        <v>6972</v>
      </c>
      <c r="D8" s="10">
        <v>48</v>
      </c>
      <c r="E8" s="9">
        <v>5421</v>
      </c>
      <c r="F8" s="9">
        <v>2097</v>
      </c>
      <c r="G8" s="17">
        <v>69029</v>
      </c>
      <c r="H8" s="16"/>
      <c r="I8" s="15">
        <v>17612</v>
      </c>
      <c r="J8" s="17">
        <v>93939</v>
      </c>
      <c r="K8" s="10">
        <v>859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40.6" customHeight="1">
      <c r="A9" s="14" cm="1">
        <f t="array" ref="A9">EDATE(A8,3)</f>
        <v>44560</v>
      </c>
      <c r="B9" s="9">
        <v>31867</v>
      </c>
      <c r="C9" s="9">
        <v>7484</v>
      </c>
      <c r="D9" s="10">
        <v>53</v>
      </c>
      <c r="E9" s="9">
        <v>5810</v>
      </c>
      <c r="F9" s="9">
        <v>2097</v>
      </c>
      <c r="G9" s="17">
        <v>69029</v>
      </c>
      <c r="H9" s="16"/>
      <c r="I9" s="15">
        <v>17612</v>
      </c>
      <c r="J9" s="17">
        <v>93939</v>
      </c>
      <c r="K9" s="10">
        <v>899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ht="24.6" customHeight="1">
      <c r="A10" s="14" cm="1">
        <f t="array" ref="A10">EDATE(A9,3)</f>
        <v>44650</v>
      </c>
      <c r="B10" s="9">
        <v>32276</v>
      </c>
      <c r="C10" s="9">
        <v>6956</v>
      </c>
      <c r="D10" s="10">
        <v>50</v>
      </c>
      <c r="E10" s="9">
        <v>5686</v>
      </c>
      <c r="F10" s="9">
        <v>2098</v>
      </c>
      <c r="G10" s="15">
        <v>66597</v>
      </c>
      <c r="H10" s="16"/>
      <c r="I10" s="15">
        <v>12270</v>
      </c>
      <c r="J10" s="15">
        <v>99387</v>
      </c>
      <c r="K10" s="10">
        <v>890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ht="24.6" customHeight="1">
      <c r="A11" s="14" cm="1">
        <f t="array" ref="A11">EDATE(A10,3)</f>
        <v>44742</v>
      </c>
      <c r="B11" s="9">
        <v>34470</v>
      </c>
      <c r="C11" s="9">
        <v>6914</v>
      </c>
      <c r="D11" s="10">
        <v>56</v>
      </c>
      <c r="E11" s="9">
        <v>5360</v>
      </c>
      <c r="F11" s="9">
        <v>2098</v>
      </c>
      <c r="G11" s="15">
        <v>66597</v>
      </c>
      <c r="H11" s="16"/>
      <c r="I11" s="15">
        <v>12270</v>
      </c>
      <c r="J11" s="15">
        <v>99387</v>
      </c>
      <c r="K11" s="10">
        <v>950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ht="24.6" customHeight="1">
      <c r="A12" s="14" cm="1">
        <f t="array" ref="A12">EDATE(A11,3)</f>
        <v>44834</v>
      </c>
      <c r="B12" s="9">
        <v>36538</v>
      </c>
      <c r="C12" s="9">
        <v>7873</v>
      </c>
      <c r="D12" s="10">
        <v>66</v>
      </c>
      <c r="E12" s="9">
        <v>6021</v>
      </c>
      <c r="F12" s="9">
        <v>2099</v>
      </c>
      <c r="G12" s="15">
        <v>66597</v>
      </c>
      <c r="H12" s="16"/>
      <c r="I12" s="15">
        <v>12270</v>
      </c>
      <c r="J12" s="15">
        <v>99387</v>
      </c>
      <c r="K12" s="9">
        <v>1029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ht="24.6" customHeight="1">
      <c r="A13" s="14" cm="1">
        <f t="array" ref="A13">EDATE(A12,3)</f>
        <v>44925</v>
      </c>
      <c r="B13" s="9">
        <v>38318</v>
      </c>
      <c r="C13" s="9">
        <v>8242</v>
      </c>
      <c r="D13" s="10">
        <v>80</v>
      </c>
      <c r="E13" s="9">
        <v>6586</v>
      </c>
      <c r="F13" s="9">
        <v>2086</v>
      </c>
      <c r="G13" s="15">
        <v>66597</v>
      </c>
      <c r="H13" s="16"/>
      <c r="I13" s="15">
        <v>12270</v>
      </c>
      <c r="J13" s="15">
        <v>99387</v>
      </c>
      <c r="K13" s="9">
        <v>1125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ht="24.6" customHeight="1">
      <c r="A14" s="14" cm="1">
        <f t="array" ref="A14">EDATE(A13,3)</f>
        <v>45015</v>
      </c>
      <c r="B14" s="9">
        <v>37441</v>
      </c>
      <c r="C14" s="9">
        <v>7877</v>
      </c>
      <c r="D14" s="10">
        <v>82</v>
      </c>
      <c r="E14" s="9">
        <v>6128</v>
      </c>
      <c r="F14" s="9">
        <v>2069</v>
      </c>
      <c r="G14" s="15">
        <v>64793</v>
      </c>
      <c r="H14" s="16"/>
      <c r="I14" s="15">
        <v>6534</v>
      </c>
      <c r="J14" s="15">
        <v>101337</v>
      </c>
      <c r="K14" s="9">
        <v>1121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ht="24.6" customHeight="1">
      <c r="A15" s="14" cm="1">
        <f t="array" ref="A15">EDATE(A14,3)</f>
        <v>45107</v>
      </c>
      <c r="B15" s="9">
        <v>37933</v>
      </c>
      <c r="C15" s="9">
        <v>7891</v>
      </c>
      <c r="D15" s="10">
        <v>90</v>
      </c>
      <c r="E15" s="9">
        <v>5945</v>
      </c>
      <c r="F15" s="9">
        <v>2070</v>
      </c>
      <c r="G15" s="15">
        <v>64793</v>
      </c>
      <c r="H15" s="16"/>
      <c r="I15" s="15">
        <v>6534</v>
      </c>
      <c r="J15" s="15">
        <v>101337</v>
      </c>
      <c r="K15" s="9">
        <v>1173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ht="24.6" customHeight="1">
      <c r="A16" s="14" cm="1">
        <f t="array" ref="A16">EDATE(A15,3)</f>
        <v>45199</v>
      </c>
      <c r="B16" s="9">
        <v>38994</v>
      </c>
      <c r="C16" s="9">
        <v>8274</v>
      </c>
      <c r="D16" s="10">
        <v>138</v>
      </c>
      <c r="E16" s="9">
        <v>6212</v>
      </c>
      <c r="F16" s="9">
        <v>2070</v>
      </c>
      <c r="G16" s="15">
        <v>64793</v>
      </c>
      <c r="H16" s="16"/>
      <c r="I16" s="15">
        <v>6534</v>
      </c>
      <c r="J16" s="15">
        <v>101337</v>
      </c>
      <c r="K16" s="9">
        <v>1166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ht="24.6" customHeight="1">
      <c r="A17" s="14" cm="1">
        <f t="array" ref="A17">EDATE(A16,3)</f>
        <v>45290</v>
      </c>
      <c r="B17" s="9">
        <v>38821</v>
      </c>
      <c r="C17" s="9">
        <v>7961</v>
      </c>
      <c r="D17" s="10">
        <v>131</v>
      </c>
      <c r="E17" s="9">
        <v>6106</v>
      </c>
      <c r="F17" s="9">
        <v>2070</v>
      </c>
      <c r="G17" s="15">
        <v>64793</v>
      </c>
      <c r="H17" s="16"/>
      <c r="I17" s="15">
        <v>6534</v>
      </c>
      <c r="J17" s="15">
        <v>101337</v>
      </c>
      <c r="K17" s="9">
        <v>1176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ht="24.6" customHeight="1">
      <c r="A18" s="14" cm="1">
        <f t="array" ref="A18">EDATE(A17,3)</f>
        <v>45381</v>
      </c>
      <c r="B18" s="9">
        <v>37923</v>
      </c>
      <c r="C18" s="9">
        <v>7621</v>
      </c>
      <c r="D18" s="10">
        <v>110</v>
      </c>
      <c r="E18" s="9">
        <v>7969</v>
      </c>
      <c r="F18" s="9">
        <v>2071</v>
      </c>
      <c r="G18" s="15">
        <v>79101</v>
      </c>
      <c r="H18" s="16"/>
      <c r="I18" s="15">
        <v>8191</v>
      </c>
      <c r="J18" s="15">
        <v>114950</v>
      </c>
      <c r="K18" s="9">
        <v>1163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ht="24.6" customHeight="1">
      <c r="A19" s="14" cm="1">
        <f t="array" ref="A19">EDATE(A18,3)</f>
        <v>45473</v>
      </c>
      <c r="B19" s="9">
        <v>39315</v>
      </c>
      <c r="C19" s="9">
        <v>8288</v>
      </c>
      <c r="D19" s="10">
        <v>105</v>
      </c>
      <c r="E19" s="9">
        <v>6368</v>
      </c>
      <c r="F19" s="9">
        <v>2072</v>
      </c>
      <c r="G19" s="15">
        <v>79101</v>
      </c>
      <c r="H19" s="16"/>
      <c r="I19" s="15">
        <v>8191</v>
      </c>
      <c r="J19" s="15">
        <v>114950</v>
      </c>
      <c r="K19" s="9">
        <v>1149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ht="24.6" customHeight="1">
      <c r="A20" s="14" cm="1">
        <f t="array" ref="A20">EDATE(A19,3)</f>
        <v>45565</v>
      </c>
      <c r="B20" s="9">
        <v>40986</v>
      </c>
      <c r="C20" s="9">
        <v>8649</v>
      </c>
      <c r="D20" s="10">
        <v>108</v>
      </c>
      <c r="E20" s="9">
        <v>6506</v>
      </c>
      <c r="F20" s="9">
        <v>2072</v>
      </c>
      <c r="G20" s="15">
        <v>79101</v>
      </c>
      <c r="H20" s="16"/>
      <c r="I20" s="15">
        <v>8191</v>
      </c>
      <c r="J20" s="15">
        <v>114950</v>
      </c>
      <c r="K20" s="9">
        <v>1160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ht="24.6" customHeight="1">
      <c r="A21" s="14" cm="1">
        <f t="array" ref="A21">EDATE(A20,3)</f>
        <v>45656</v>
      </c>
      <c r="B21" s="9">
        <v>41764</v>
      </c>
      <c r="C21" s="9">
        <v>8912</v>
      </c>
      <c r="D21" s="10">
        <v>101</v>
      </c>
      <c r="E21" s="9">
        <v>6806</v>
      </c>
      <c r="F21" s="9">
        <v>2072</v>
      </c>
      <c r="G21" s="15">
        <v>79101</v>
      </c>
      <c r="H21" s="16"/>
      <c r="I21" s="15">
        <v>8191</v>
      </c>
      <c r="J21" s="15">
        <v>114950</v>
      </c>
      <c r="K21" s="9">
        <v>1203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ht="40.6" customHeight="1">
      <c r="A22" s="14" cm="1">
        <f t="array" ref="A22">EDATE(A21,3)</f>
        <v>45746</v>
      </c>
      <c r="B22" s="9">
        <v>40925</v>
      </c>
      <c r="C22" s="9">
        <v>8575</v>
      </c>
      <c r="D22" s="10">
        <v>102</v>
      </c>
      <c r="E22" s="9">
        <v>7033</v>
      </c>
      <c r="F22" s="9">
        <v>2073</v>
      </c>
      <c r="G22" s="15">
        <v>85256</v>
      </c>
      <c r="H22" s="16"/>
      <c r="I22" s="15">
        <v>14265</v>
      </c>
      <c r="J22" s="17">
        <v>124936</v>
      </c>
      <c r="K22" s="9">
        <v>1299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ht="40.6" customHeight="1">
      <c r="A23" s="14" cm="1">
        <f t="array" ref="A23">EDATE(A22,3)</f>
        <v>45838</v>
      </c>
      <c r="B23" s="9">
        <v>42279</v>
      </c>
      <c r="C23" s="9">
        <v>8803</v>
      </c>
      <c r="D23" s="10">
        <v>105</v>
      </c>
      <c r="E23" s="9">
        <v>6921</v>
      </c>
      <c r="F23" s="9">
        <v>2074</v>
      </c>
      <c r="G23" s="15">
        <v>85256</v>
      </c>
      <c r="H23" s="16"/>
      <c r="I23" s="15">
        <v>14265</v>
      </c>
      <c r="J23" s="17">
        <v>124936</v>
      </c>
      <c r="K23" s="9">
        <v>1140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ht="40.6" customHeight="1">
      <c r="A24" s="14" cm="1">
        <f t="array" ref="A24">EDATE(A23,3)</f>
        <v>45930</v>
      </c>
      <c r="B24" s="9">
        <v>44490</v>
      </c>
      <c r="C24" s="9">
        <v>9353</v>
      </c>
      <c r="D24" s="10">
        <v>106</v>
      </c>
      <c r="E24" s="9">
        <v>7364</v>
      </c>
      <c r="F24" s="9">
        <v>2074</v>
      </c>
      <c r="G24" s="15">
        <v>85256</v>
      </c>
      <c r="H24" s="16"/>
      <c r="I24" s="15">
        <v>14265</v>
      </c>
      <c r="J24" s="17">
        <v>124936</v>
      </c>
      <c r="K24" s="9">
        <v>1182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ht="40.6" customHeight="1">
      <c r="A25" s="19" cm="1">
        <f t="array" ref="A25">EDATE(A24,3)</f>
        <v>46021</v>
      </c>
      <c r="B25" s="20">
        <v>45479</v>
      </c>
      <c r="C25" s="20">
        <v>9479</v>
      </c>
      <c r="D25" s="21">
        <v>100</v>
      </c>
      <c r="E25" s="20">
        <v>6654</v>
      </c>
      <c r="F25" s="22">
        <v>2024</v>
      </c>
      <c r="G25" s="15">
        <v>85256</v>
      </c>
      <c r="H25" s="16"/>
      <c r="I25" s="15">
        <v>14265</v>
      </c>
      <c r="J25" s="23">
        <v>124936</v>
      </c>
      <c r="K25" s="22">
        <v>1155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ht="20.7" customHeight="1">
      <c r="A26" s="19"/>
      <c r="B26" s="24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ht="20.7" customHeight="1">
      <c r="A27" s="19"/>
      <c r="B27" s="24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ht="20.7" customHeight="1">
      <c r="A28" s="19"/>
      <c r="B28" s="24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ht="20.7" customHeight="1">
      <c r="A29" s="19"/>
      <c r="B29" s="24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ht="20.7" customHeight="1">
      <c r="A30" s="19"/>
      <c r="B30" s="24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ht="20.7" customHeight="1">
      <c r="A31" s="19"/>
      <c r="B31" s="24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ht="20.7" customHeight="1">
      <c r="A32" s="19"/>
      <c r="B32" s="24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ht="20.7" customHeight="1">
      <c r="A33" s="19"/>
      <c r="B33" s="24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ht="56.6" customHeight="1">
      <c r="A34" s="19"/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7"/>
    </row>
    <row r="35" ht="56.6" customHeight="1">
      <c r="A35" s="19"/>
      <c r="B35" s="28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30"/>
    </row>
    <row r="36" ht="56.6" customHeight="1">
      <c r="A36" s="19"/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30"/>
    </row>
    <row r="37" ht="56.6" customHeight="1">
      <c r="A37" s="19"/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30"/>
    </row>
    <row r="38" ht="56.6" customHeight="1">
      <c r="A38" s="19"/>
      <c r="B38" s="28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30"/>
    </row>
    <row r="39" ht="56.6" customHeight="1">
      <c r="A39" s="19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3"/>
    </row>
    <row r="40" ht="20.7" customHeight="1">
      <c r="A40" s="19"/>
      <c r="B40" s="24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ht="20.7" customHeight="1">
      <c r="A41" s="19"/>
      <c r="B41" s="24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ht="20.7" customHeight="1">
      <c r="A42" s="19"/>
      <c r="B42" s="24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ht="20.7" customHeight="1">
      <c r="A43" s="19"/>
      <c r="B43" s="24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ht="20.7" customHeight="1">
      <c r="A44" s="19"/>
      <c r="B44" s="24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ht="20.7" customHeight="1">
      <c r="A45" s="19"/>
      <c r="B45" s="24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ht="20.7" customHeight="1">
      <c r="A46" s="19"/>
      <c r="B46" s="24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ht="20.7" customHeight="1">
      <c r="A47" s="19"/>
      <c r="B47" s="24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ht="20.7" customHeight="1">
      <c r="A48" s="19"/>
      <c r="B48" s="24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ht="20.7" customHeight="1">
      <c r="A49" s="19"/>
      <c r="B49" s="24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ht="20.7" customHeight="1">
      <c r="A50" s="19"/>
      <c r="B50" s="24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ht="20.7" customHeight="1">
      <c r="A51" s="19"/>
      <c r="B51" s="24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ht="20.7" customHeight="1">
      <c r="A52" s="19"/>
      <c r="B52" s="24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ht="20.7" customHeight="1">
      <c r="A53" s="19"/>
      <c r="B53" s="24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ht="20.7" customHeight="1">
      <c r="A54" s="19"/>
      <c r="B54" s="24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ht="20.7" customHeight="1">
      <c r="A55" s="19"/>
      <c r="B55" s="24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ht="20.7" customHeight="1">
      <c r="A56" s="19"/>
      <c r="B56" s="24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ht="20.7" customHeight="1">
      <c r="A57" s="19"/>
      <c r="B57" s="24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ht="20.7" customHeight="1">
      <c r="A58" s="19"/>
      <c r="B58" s="24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ht="20.7" customHeight="1">
      <c r="A59" s="19"/>
      <c r="B59" s="24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ht="20.7" customHeight="1">
      <c r="A60" s="19"/>
      <c r="B60" s="24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ht="20.7" customHeight="1">
      <c r="A61" s="19"/>
      <c r="B61" s="24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ht="20.7" customHeight="1">
      <c r="A62" s="19"/>
      <c r="B62" s="24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ht="20.7" customHeight="1">
      <c r="A63" s="19"/>
      <c r="B63" s="24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ht="20.7" customHeight="1">
      <c r="A64" s="19"/>
      <c r="B64" s="24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ht="20.7" customHeight="1">
      <c r="A65" s="19"/>
      <c r="B65" s="24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ht="20.7" customHeight="1">
      <c r="A66" s="19"/>
      <c r="B66" s="24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ht="20.7" customHeight="1">
      <c r="A67" s="19"/>
      <c r="B67" s="24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ht="20.7" customHeight="1">
      <c r="A68" s="19"/>
      <c r="B68" s="24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ht="20.7" customHeight="1">
      <c r="A69" s="19"/>
      <c r="B69" s="24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ht="20.7" customHeight="1">
      <c r="A70" s="19"/>
      <c r="B70" s="24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ht="20.7" customHeight="1">
      <c r="A71" s="19"/>
      <c r="B71" s="24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ht="20.7" customHeight="1">
      <c r="A72" s="19"/>
      <c r="B72" s="24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ht="20.7" customHeight="1">
      <c r="A73" s="19"/>
      <c r="B73" s="24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ht="20.7" customHeight="1">
      <c r="A74" s="19"/>
      <c r="B74" s="24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ht="20.7" customHeight="1">
      <c r="A75" s="19"/>
      <c r="B75" s="24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ht="20.7" customHeight="1">
      <c r="A76" s="19"/>
      <c r="B76" s="24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ht="20.7" customHeight="1">
      <c r="A77" s="19"/>
      <c r="B77" s="24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ht="20.7" customHeight="1">
      <c r="A78" s="19"/>
      <c r="B78" s="24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ht="20.7" customHeight="1">
      <c r="A79" s="19"/>
      <c r="B79" s="24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ht="20.7" customHeight="1">
      <c r="A80" s="19"/>
      <c r="B80" s="24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ht="20.7" customHeight="1">
      <c r="A81" s="19"/>
      <c r="B81" s="24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ht="20.7" customHeight="1">
      <c r="A82" s="19"/>
      <c r="B82" s="24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ht="20.7" customHeight="1">
      <c r="A83" s="19"/>
      <c r="B83" s="24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ht="20.7" customHeight="1">
      <c r="A84" s="19"/>
      <c r="B84" s="24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ht="20.7" customHeight="1">
      <c r="A85" s="19"/>
      <c r="B85" s="24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ht="20.7" customHeight="1">
      <c r="A86" s="19"/>
      <c r="B86" s="24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ht="20.7" customHeight="1">
      <c r="A87" s="19"/>
      <c r="B87" s="24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ht="20.7" customHeight="1">
      <c r="A88" s="19"/>
      <c r="B88" s="24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ht="20.7" customHeight="1">
      <c r="A89" s="19"/>
      <c r="B89" s="24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ht="20.7" customHeight="1">
      <c r="A90" s="19"/>
      <c r="B90" s="24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ht="20.7" customHeight="1">
      <c r="A91" s="19"/>
      <c r="B91" s="24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ht="20.7" customHeight="1">
      <c r="A92" s="19"/>
      <c r="B92" s="24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ht="20.7" customHeight="1">
      <c r="A93" s="19"/>
      <c r="B93" s="24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ht="20.7" customHeight="1">
      <c r="A94" s="19"/>
      <c r="B94" s="24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ht="20.7" customHeight="1">
      <c r="A95" s="19"/>
      <c r="B95" s="24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ht="20.7" customHeight="1">
      <c r="A96" s="19"/>
      <c r="B96" s="24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ht="20.7" customHeight="1">
      <c r="A97" s="19"/>
      <c r="B97" s="24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ht="20.7" customHeight="1">
      <c r="A98" s="19"/>
      <c r="B98" s="24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ht="20.7" customHeight="1">
      <c r="A99" s="19"/>
      <c r="B99" s="24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